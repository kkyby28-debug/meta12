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\Documents\"/>
    </mc:Choice>
  </mc:AlternateContent>
  <bookViews>
    <workbookView xWindow="0" yWindow="0" windowWidth="28800" windowHeight="11625"/>
  </bookViews>
  <sheets>
    <sheet name="Sheet2" sheetId="2" r:id="rId1"/>
  </sheets>
  <definedNames>
    <definedName name="_xlnm._FilterDatabase" localSheetId="0" hidden="1">Sheet2!$C$3:$C$11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9" i="2" l="1"/>
  <c r="B18" i="2"/>
  <c r="B17" i="2"/>
  <c r="B16" i="2"/>
  <c r="F5" i="2"/>
  <c r="F6" i="2"/>
  <c r="F7" i="2"/>
  <c r="F8" i="2"/>
  <c r="F9" i="2"/>
  <c r="F10" i="2"/>
  <c r="F11" i="2"/>
  <c r="B15" i="2"/>
  <c r="B14" i="2"/>
  <c r="F4" i="2"/>
</calcChain>
</file>

<file path=xl/sharedStrings.xml><?xml version="1.0" encoding="utf-8"?>
<sst xmlns="http://schemas.openxmlformats.org/spreadsheetml/2006/main" count="39" uniqueCount="37">
  <si>
    <t>품목코드</t>
    <phoneticPr fontId="1" type="noConversion"/>
  </si>
  <si>
    <t>품목명</t>
    <phoneticPr fontId="1" type="noConversion"/>
  </si>
  <si>
    <t>카테고리</t>
    <phoneticPr fontId="1" type="noConversion"/>
  </si>
  <si>
    <t>현재재고</t>
    <phoneticPr fontId="1" type="noConversion"/>
  </si>
  <si>
    <t>안전재고</t>
    <phoneticPr fontId="1" type="noConversion"/>
  </si>
  <si>
    <t>상태</t>
    <phoneticPr fontId="1" type="noConversion"/>
  </si>
  <si>
    <t>재고관리표</t>
    <phoneticPr fontId="1" type="noConversion"/>
  </si>
  <si>
    <t>P001</t>
    <phoneticPr fontId="1" type="noConversion"/>
  </si>
  <si>
    <t>P002</t>
  </si>
  <si>
    <t>P003</t>
  </si>
  <si>
    <t>P004</t>
  </si>
  <si>
    <t>P005</t>
  </si>
  <si>
    <t>P006</t>
  </si>
  <si>
    <t>P007</t>
  </si>
  <si>
    <t>P008</t>
  </si>
  <si>
    <t>노트북</t>
    <phoneticPr fontId="1" type="noConversion"/>
  </si>
  <si>
    <t>마우스</t>
    <phoneticPr fontId="1" type="noConversion"/>
  </si>
  <si>
    <t>의자</t>
    <phoneticPr fontId="1" type="noConversion"/>
  </si>
  <si>
    <t>책상</t>
    <phoneticPr fontId="1" type="noConversion"/>
  </si>
  <si>
    <t>모닡</t>
    <phoneticPr fontId="1" type="noConversion"/>
  </si>
  <si>
    <t>키보드</t>
    <phoneticPr fontId="1" type="noConversion"/>
  </si>
  <si>
    <t>책장</t>
    <phoneticPr fontId="1" type="noConversion"/>
  </si>
  <si>
    <t>프린터</t>
    <phoneticPr fontId="1" type="noConversion"/>
  </si>
  <si>
    <t>전자제품</t>
  </si>
  <si>
    <t>전자제품</t>
    <phoneticPr fontId="1" type="noConversion"/>
  </si>
  <si>
    <t>가구</t>
    <phoneticPr fontId="1" type="noConversion"/>
  </si>
  <si>
    <t>가구</t>
    <phoneticPr fontId="1" type="noConversion"/>
  </si>
  <si>
    <t>전자제품</t>
    <phoneticPr fontId="1" type="noConversion"/>
  </si>
  <si>
    <t>전자제품</t>
    <phoneticPr fontId="1" type="noConversion"/>
  </si>
  <si>
    <t>가구</t>
    <phoneticPr fontId="1" type="noConversion"/>
  </si>
  <si>
    <t>재고 현황 요약</t>
    <phoneticPr fontId="1" type="noConversion"/>
  </si>
  <si>
    <t>총품목수</t>
    <phoneticPr fontId="1" type="noConversion"/>
  </si>
  <si>
    <t>부족품목수</t>
    <phoneticPr fontId="1" type="noConversion"/>
  </si>
  <si>
    <t>전자제품재고</t>
    <phoneticPr fontId="1" type="noConversion"/>
  </si>
  <si>
    <t>가구재고</t>
    <phoneticPr fontId="1" type="noConversion"/>
  </si>
  <si>
    <t>전자재품총재고량</t>
    <phoneticPr fontId="1" type="noConversion"/>
  </si>
  <si>
    <t>가구총재고량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</si>
</sst>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8"/>
      <color theme="1"/>
      <name val="HY견고딕"/>
      <family val="1"/>
      <charset val="129"/>
    </font>
    <font>
      <sz val="11"/>
      <color theme="7" tint="-0.249977111117893"/>
      <name val="맑은 고딕"/>
      <family val="2"/>
      <charset val="129"/>
      <scheme val="minor"/>
    </font>
    <font>
      <sz val="11"/>
      <color theme="7" tint="-0.249977111117893"/>
      <name val="맑은 고딕"/>
      <family val="3"/>
      <charset val="129"/>
      <scheme val="minor"/>
    </font>
    <font>
      <sz val="18"/>
      <color theme="1"/>
      <name val="HY견고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0" borderId="0" xfId="0" applyFont="1" applyAlignment="1">
      <alignment horizontal="center" vertical="center"/>
    </xf>
  </cellXfs>
  <cellStyles count="1">
    <cellStyle name="표준" xfId="0" builtinId="0"/>
  </cellStyles>
  <dxfs count="3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C12" sqref="C12"/>
    </sheetView>
  </sheetViews>
  <sheetFormatPr defaultRowHeight="16.5" x14ac:dyDescent="0.3"/>
  <cols>
    <col min="1" max="6" width="16.75" customWidth="1"/>
  </cols>
  <sheetData>
    <row r="1" spans="1:6" ht="35.25" x14ac:dyDescent="0.3">
      <c r="A1" s="1" t="s">
        <v>6</v>
      </c>
      <c r="B1" s="1"/>
      <c r="C1" s="1"/>
      <c r="D1" s="1"/>
      <c r="E1" s="1"/>
      <c r="F1" s="1"/>
    </row>
    <row r="3" spans="1:6" x14ac:dyDescent="0.3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spans="1:6" x14ac:dyDescent="0.3">
      <c r="A4" t="s">
        <v>7</v>
      </c>
      <c r="B4" t="s">
        <v>15</v>
      </c>
      <c r="C4" t="s">
        <v>24</v>
      </c>
      <c r="D4">
        <v>15</v>
      </c>
      <c r="E4">
        <v>20</v>
      </c>
      <c r="F4" t="str">
        <f>IF(D4&lt;E4, "부족","정상")</f>
        <v>부족</v>
      </c>
    </row>
    <row r="5" spans="1:6" x14ac:dyDescent="0.3">
      <c r="A5" t="s">
        <v>8</v>
      </c>
      <c r="B5" t="s">
        <v>16</v>
      </c>
      <c r="C5" t="s">
        <v>27</v>
      </c>
      <c r="D5">
        <v>50</v>
      </c>
      <c r="E5">
        <v>30</v>
      </c>
      <c r="F5" t="str">
        <f t="shared" ref="F5:F11" si="0">IF(D5&lt;E5, "부족","정상")</f>
        <v>정상</v>
      </c>
    </row>
    <row r="6" spans="1:6" x14ac:dyDescent="0.3">
      <c r="A6" t="s">
        <v>9</v>
      </c>
      <c r="B6" t="s">
        <v>17</v>
      </c>
      <c r="C6" t="s">
        <v>25</v>
      </c>
      <c r="D6">
        <v>8</v>
      </c>
      <c r="E6">
        <v>15</v>
      </c>
      <c r="F6" t="str">
        <f t="shared" si="0"/>
        <v>부족</v>
      </c>
    </row>
    <row r="7" spans="1:6" x14ac:dyDescent="0.3">
      <c r="A7" t="s">
        <v>10</v>
      </c>
      <c r="B7" t="s">
        <v>18</v>
      </c>
      <c r="C7" t="s">
        <v>26</v>
      </c>
      <c r="D7">
        <v>25</v>
      </c>
      <c r="E7">
        <v>20</v>
      </c>
      <c r="F7" t="str">
        <f t="shared" si="0"/>
        <v>정상</v>
      </c>
    </row>
    <row r="8" spans="1:6" x14ac:dyDescent="0.3">
      <c r="A8" t="s">
        <v>11</v>
      </c>
      <c r="B8" t="s">
        <v>19</v>
      </c>
      <c r="C8" t="s">
        <v>27</v>
      </c>
      <c r="D8">
        <v>12</v>
      </c>
      <c r="E8">
        <v>25</v>
      </c>
      <c r="F8" t="str">
        <f t="shared" si="0"/>
        <v>부족</v>
      </c>
    </row>
    <row r="9" spans="1:6" x14ac:dyDescent="0.3">
      <c r="A9" t="s">
        <v>12</v>
      </c>
      <c r="B9" t="s">
        <v>20</v>
      </c>
      <c r="C9" t="s">
        <v>28</v>
      </c>
      <c r="D9">
        <v>40</v>
      </c>
      <c r="E9">
        <v>30</v>
      </c>
      <c r="F9" t="str">
        <f t="shared" si="0"/>
        <v>정상</v>
      </c>
    </row>
    <row r="10" spans="1:6" x14ac:dyDescent="0.3">
      <c r="A10" t="s">
        <v>13</v>
      </c>
      <c r="B10" t="s">
        <v>21</v>
      </c>
      <c r="C10" t="s">
        <v>29</v>
      </c>
      <c r="D10">
        <v>5</v>
      </c>
      <c r="E10">
        <v>10</v>
      </c>
      <c r="F10" t="str">
        <f t="shared" si="0"/>
        <v>부족</v>
      </c>
    </row>
    <row r="11" spans="1:6" x14ac:dyDescent="0.3">
      <c r="A11" t="s">
        <v>14</v>
      </c>
      <c r="B11" t="s">
        <v>22</v>
      </c>
      <c r="C11" t="s">
        <v>23</v>
      </c>
      <c r="D11">
        <v>18</v>
      </c>
      <c r="E11">
        <v>15</v>
      </c>
      <c r="F11" t="str">
        <f t="shared" si="0"/>
        <v>정상</v>
      </c>
    </row>
    <row r="12" spans="1:6" x14ac:dyDescent="0.3">
      <c r="C12" t="s">
        <v>23</v>
      </c>
    </row>
    <row r="13" spans="1:6" ht="33.75" customHeight="1" x14ac:dyDescent="0.3">
      <c r="A13" s="4" t="s">
        <v>30</v>
      </c>
      <c r="B13" s="4"/>
    </row>
    <row r="14" spans="1:6" x14ac:dyDescent="0.3">
      <c r="A14" t="s">
        <v>31</v>
      </c>
      <c r="B14">
        <f>COUNTA(A4:A11)</f>
        <v>8</v>
      </c>
    </row>
    <row r="15" spans="1:6" x14ac:dyDescent="0.3">
      <c r="A15" t="s">
        <v>32</v>
      </c>
      <c r="B15">
        <f>COUNTIF(F4:F11,"부족")</f>
        <v>4</v>
      </c>
    </row>
    <row r="16" spans="1:6" x14ac:dyDescent="0.3">
      <c r="A16" t="s">
        <v>33</v>
      </c>
      <c r="B16">
        <f>COUNTIF(C4:C11,"전자제품")</f>
        <v>5</v>
      </c>
    </row>
    <row r="17" spans="1:2" x14ac:dyDescent="0.3">
      <c r="A17" t="s">
        <v>34</v>
      </c>
      <c r="B17">
        <f>COUNTIF(C4:C11,"가구")</f>
        <v>3</v>
      </c>
    </row>
    <row r="18" spans="1:2" x14ac:dyDescent="0.3">
      <c r="A18" t="s">
        <v>35</v>
      </c>
      <c r="B18">
        <f>SUMIF(C4:C11, "전자제품", D4:D11)</f>
        <v>135</v>
      </c>
    </row>
    <row r="19" spans="1:2" x14ac:dyDescent="0.3">
      <c r="A19" t="s">
        <v>36</v>
      </c>
      <c r="B19">
        <f>SUMIF(C4:C11, "가구", D4:D11)</f>
        <v>38</v>
      </c>
    </row>
  </sheetData>
  <mergeCells count="2">
    <mergeCell ref="A1:F1"/>
    <mergeCell ref="A13:B13"/>
  </mergeCells>
  <phoneticPr fontId="1" type="noConversion"/>
  <conditionalFormatting sqref="F4:F1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ellIs" priority="4" operator="between">
      <formula>"부족"</formula>
      <formula>"정상"</formula>
    </cfRule>
  </conditionalFormatting>
  <conditionalFormatting sqref="F4:F11">
    <cfRule type="expression" dxfId="2" priority="2">
      <formula>F4="부족"</formula>
    </cfRule>
    <cfRule type="expression" dxfId="1" priority="1">
      <formula>F4="정상"</formula>
    </cfRule>
  </conditionalFormatting>
  <dataValidations count="1">
    <dataValidation type="list" allowBlank="1" showInputMessage="1" showErrorMessage="1" sqref="C3 C12">
      <formula1>"전자제품,가구"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</dc:creator>
  <cp:lastModifiedBy>DW</cp:lastModifiedBy>
  <dcterms:created xsi:type="dcterms:W3CDTF">2026-01-07T06:46:58Z</dcterms:created>
  <dcterms:modified xsi:type="dcterms:W3CDTF">2026-01-07T08:04:28Z</dcterms:modified>
</cp:coreProperties>
</file>